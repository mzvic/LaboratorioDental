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Semanal" sheetId="1" state="visible" r:id="rId3"/>
    <sheet name="Resumen del Piloto" sheetId="2" state="visible" r:id="rId4"/>
    <sheet name="Caso de Éxito (Pitch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<sst xmlns="http://schemas.openxmlformats.org/spreadsheetml/2006/main" count="67" uniqueCount="64">
  <si>
    <t xml:space="preserve">SINCRODENT — Hoja de Métricas del Piloto</t>
  </si>
  <si>
    <t xml:space="preserve">Laboratorio piloto · Julio – Septiembre 2026  |  Llenar cada lunes con los datos de la semana anterior</t>
  </si>
  <si>
    <t xml:space="preserve">Semana</t>
  </si>
  <si>
    <t xml:space="preserve">OT
registradas</t>
  </si>
  <si>
    <t xml:space="preserve">OT
estimadas
(total real)</t>
  </si>
  <si>
    <t xml:space="preserve">% uso
del sistema</t>
  </si>
  <si>
    <t xml:space="preserve">Deuda
cobrada ($)</t>
  </si>
  <si>
    <t xml:space="preserve">Deuda
pendiente ($)</t>
  </si>
  <si>
    <t xml:space="preserve">Minutos
ahorrados</t>
  </si>
  <si>
    <t xml:space="preserve">Notas / Incidencias</t>
  </si>
  <si>
    <t xml:space="preserve">Quejas o pedidos
del papá</t>
  </si>
  <si>
    <t xml:space="preserve">21/07 – 27/07</t>
  </si>
  <si>
    <t xml:space="preserve">28/07 – 03/08</t>
  </si>
  <si>
    <t xml:space="preserve">04/08 – 10/08</t>
  </si>
  <si>
    <t xml:space="preserve">11/08 – 17/08</t>
  </si>
  <si>
    <t xml:space="preserve">18/08 – 24/08</t>
  </si>
  <si>
    <t xml:space="preserve">25/08 – 31/08</t>
  </si>
  <si>
    <t xml:space="preserve">01/09 – 07/09</t>
  </si>
  <si>
    <t xml:space="preserve">08/09 – 14/09</t>
  </si>
  <si>
    <t xml:space="preserve">15/09 – 21/09</t>
  </si>
  <si>
    <t xml:space="preserve">22/09 – 28/09</t>
  </si>
  <si>
    <t xml:space="preserve">29/09 – 05/10</t>
  </si>
  <si>
    <t xml:space="preserve">06/10 – 12/10</t>
  </si>
  <si>
    <t xml:space="preserve">13/10 – 19/10</t>
  </si>
  <si>
    <t xml:space="preserve">TOTAL / PROMEDIO</t>
  </si>
  <si>
    <t xml:space="preserve">INSTRUCCIONES: Llenar cada lunes. Celdas en AMARILLO son de ingreso manual. Las celdas blancas se calculan solas. OT estimadas = total de trabajos que entraron esa semana (los que registró en el sistema + los que eventualmente olvidó).</t>
  </si>
  <si>
    <t xml:space="preserve">META: % uso del sistema ≥ 90% en las últimas 4 semanas antes de octubre. Deuda cobrada acumulada es el argumento de venta más poderoso para las demos.</t>
  </si>
  <si>
    <t xml:space="preserve">SINCRODENT — Resumen del Piloto</t>
  </si>
  <si>
    <t xml:space="preserve">Semanas registradas</t>
  </si>
  <si>
    <t xml:space="preserve">Total OT registradas</t>
  </si>
  <si>
    <t xml:space="preserve">Total OT estimadas</t>
  </si>
  <si>
    <t xml:space="preserve">% uso del sistema</t>
  </si>
  <si>
    <t xml:space="preserve">Deuda total cobrada</t>
  </si>
  <si>
    <t xml:space="preserve">Minutos ahorrados</t>
  </si>
  <si>
    <t xml:space="preserve">SEÑALES DE ÉXITO: % uso ≥ 90% + deuda cobrada &gt; $0 + papá no vuelve al WhatsApp.</t>
  </si>
  <si>
    <t xml:space="preserve">SEÑAL DE PIVOTE: Si % uso cae bajo 70% dos semanas seguidas → problema de hábito, no de software. Simplificar el flujo.</t>
  </si>
  <si>
    <t xml:space="preserve">% Uso sistema</t>
  </si>
  <si>
    <t xml:space="preserve">Deuda cobrada</t>
  </si>
  <si>
    <t xml:space="preserve">Min. ahorrados</t>
  </si>
  <si>
    <t xml:space="preserve">Tendencia uso</t>
  </si>
  <si>
    <t xml:space="preserve">—</t>
  </si>
  <si>
    <t xml:space="preserve">CASO DE ÉXITO — Laboratorio Piloto</t>
  </si>
  <si>
    <t xml:space="preserve">Este resumen es el argumento central del pitch para demos con otros laboratorios en octubre</t>
  </si>
  <si>
    <t xml:space="preserve">MÉTRICA</t>
  </si>
  <si>
    <t xml:space="preserve">ANTES</t>
  </si>
  <si>
    <t xml:space="preserve">DESPUÉS (3 meses)</t>
  </si>
  <si>
    <t xml:space="preserve">DIFERENCIA</t>
  </si>
  <si>
    <t xml:space="preserve">Tiempo sumando deudas</t>
  </si>
  <si>
    <t xml:space="preserve">~__ min/semana (rellenar)</t>
  </si>
  <si>
    <t xml:space="preserve">~__ min/semana</t>
  </si>
  <si>
    <t xml:space="preserve">Deuda total no cobrada</t>
  </si>
  <si>
    <t xml:space="preserve">~$________ (rellenar)</t>
  </si>
  <si>
    <t xml:space="preserve">~$________</t>
  </si>
  <si>
    <t xml:space="preserve">OT perdidas por mes</t>
  </si>
  <si>
    <t xml:space="preserve">__ OT/mes (rellenar)</t>
  </si>
  <si>
    <t xml:space="preserve">__ OT/mes</t>
  </si>
  <si>
    <t xml:space="preserve">Tiempo generando cobros</t>
  </si>
  <si>
    <t xml:space="preserve">~__ horas/mes (manual)</t>
  </si>
  <si>
    <t xml:space="preserve">~__ min/mes (1 clic)</t>
  </si>
  <si>
    <t xml:space="preserve">Instrucciones incompletas</t>
  </si>
  <si>
    <t xml:space="preserve">Frecuente — llamar al dentista</t>
  </si>
  <si>
    <t xml:space="preserve">Reducido con portal</t>
  </si>
  <si>
    <t xml:space="preserve">📌 CITA PARA EL PITCH: "Antes tardaba __ minutos por semana sumando lo que le debían. Ahora lo ve en 2 segundos. Y en 3 meses cobró $________ que antes se le perdían."</t>
  </si>
  <si>
    <t xml:space="preserve">INSTRUCCIONES: Rellenar las celdas en AZUL con los datos reales al final del piloto (septiembre 2026). Las celdas amarillas se llenan con el dato final después de 3 meses de uso.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</si>
</sst>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$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E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A1A2E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854F0B"/>
      <name val="Arial"/>
      <family val="0"/>
      <charset val="1"/>
    </font>
    <font>
      <i val="true"/>
      <sz val="9"/>
      <color rgb="FF166534"/>
      <name val="Arial"/>
      <family val="0"/>
      <charset val="1"/>
    </font>
    <font>
      <b val="true"/>
      <sz val="12"/>
      <color rgb="FF1E3A5F"/>
      <name val="Arial"/>
      <family val="0"/>
      <charset val="1"/>
    </font>
    <font>
      <sz val="10"/>
      <color rgb="FF1E3A5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1"/>
      <color rgb="FF1E3A5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E3A5F"/>
        <bgColor rgb="FF2D5080"/>
      </patternFill>
    </fill>
    <fill>
      <patternFill patternType="solid">
        <fgColor rgb="FFE8EEF4"/>
        <bgColor rgb="FFE2E8F0"/>
      </patternFill>
    </fill>
    <fill>
      <patternFill patternType="solid">
        <fgColor rgb="FFF8FAFC"/>
        <bgColor rgb="FFFFFFFF"/>
      </patternFill>
    </fill>
    <fill>
      <patternFill patternType="solid">
        <fgColor rgb="FFFFF9C4"/>
        <bgColor rgb="FFFEFCE8"/>
      </patternFill>
    </fill>
    <fill>
      <patternFill patternType="solid">
        <fgColor rgb="FFF0FDF4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EFCE8"/>
        <bgColor rgb="FFF8FAFC"/>
      </patternFill>
    </fill>
    <fill>
      <patternFill patternType="solid">
        <fgColor rgb="FF2D5080"/>
        <bgColor rgb="FF1E3A5F"/>
      </patternFill>
    </fill>
    <fill>
      <patternFill patternType="solid">
        <fgColor rgb="FF991B1B"/>
        <bgColor rgb="FF800000"/>
      </patternFill>
    </fill>
    <fill>
      <patternFill patternType="solid">
        <fgColor rgb="FF166534"/>
        <bgColor rgb="FF2D5080"/>
      </patternFill>
    </fill>
    <fill>
      <patternFill patternType="solid">
        <fgColor rgb="FFFEF2F2"/>
        <bgColor rgb="FFF8FA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54F0B"/>
      <rgbColor rgb="FF800080"/>
      <rgbColor rgb="FF008080"/>
      <rgbColor rgb="FFF8FAFC"/>
      <rgbColor rgb="FF878787"/>
      <rgbColor rgb="FF9999FF"/>
      <rgbColor rgb="FF993366"/>
      <rgbColor rgb="FFFFF9C4"/>
      <rgbColor rgb="FFF0FD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4"/>
      <rgbColor rgb="FFE2E8F0"/>
      <rgbColor rgb="FFFEFCE8"/>
      <rgbColor rgb="FF99CCFF"/>
      <rgbColor rgb="FFFF99CC"/>
      <rgbColor rgb="FFCC99FF"/>
      <rgbColor rgb="FFFEF2F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1B1B"/>
      <rgbColor rgb="FF993366"/>
      <rgbColor rgb="FF2D5080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% Uso del sistema por semana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'Resumen del Piloto'!C13</c:f>
              <c:strCache>
                <c:ptCount val="1"/>
                <c:pt idx="0">
                  <c:v>% Uso sistema</c:v>
                </c:pt>
              </c:strCache>
            </c:strRef>
          </c:tx>
          <c:spPr>
            <a:solidFill>
              <a:srgbClr val="1E3A5F"/>
            </a:solidFill>
            <a:ln w="20160">
              <a:solidFill>
                <a:srgbClr val="1E3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'Resumen del Piloto'!$B$14:$B$26</c:f>
              <c:strCache>
                <c:ptCount val="13"/>
                <c:pt idx="0">
                  <c:v>21/07 – 27/07</c:v>
                </c:pt>
                <c:pt idx="1">
                  <c:v>28/07 – 03/08</c:v>
                </c:pt>
                <c:pt idx="2">
                  <c:v>04/08 – 10/08</c:v>
                </c:pt>
                <c:pt idx="3">
                  <c:v>11/08 – 17/08</c:v>
                </c:pt>
                <c:pt idx="4">
                  <c:v>18/08 – 24/08</c:v>
                </c:pt>
                <c:pt idx="5">
                  <c:v>25/08 – 31/08</c:v>
                </c:pt>
                <c:pt idx="6">
                  <c:v>01/09 – 07/09</c:v>
                </c:pt>
                <c:pt idx="7">
                  <c:v>08/09 – 14/09</c:v>
                </c:pt>
                <c:pt idx="8">
                  <c:v>15/09 – 21/09</c:v>
                </c:pt>
                <c:pt idx="9">
                  <c:v>22/09 – 28/09</c:v>
                </c:pt>
                <c:pt idx="10">
                  <c:v>29/09 – 05/10</c:v>
                </c:pt>
                <c:pt idx="11">
                  <c:v>06/10 – 12/10</c:v>
                </c:pt>
                <c:pt idx="12">
                  <c:v>13/10 – 19/10</c:v>
                </c:pt>
              </c:strCache>
            </c:strRef>
          </c:cat>
          <c:val>
            <c:numRef>
              <c:f>'Resumen del Piloto'!$C$14:$C$26</c:f>
              <c:numCache>
                <c:formatCode>General</c:formatCode>
                <c:ptCount val="13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514933"/>
        <c:axId val="74728359"/>
      </c:lineChart>
      <c:catAx>
        <c:axId val="455149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728359"/>
        <c:crosses val="autoZero"/>
        <c:auto val="1"/>
        <c:lblAlgn val="ctr"/>
        <c:lblOffset val="100"/>
        <c:noMultiLvlLbl val="0"/>
      </c:catAx>
      <c:valAx>
        <c:axId val="747283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OT registradas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5149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26</xdr:row>
      <xdr:rowOff>97200</xdr:rowOff>
    </xdr:from>
    <xdr:to>
      <xdr:col>6</xdr:col>
      <xdr:colOff>417600</xdr:colOff>
      <xdr:row>45</xdr:row>
      <xdr:rowOff>77040</xdr:rowOff>
    </xdr:to>
    <xdr:graphicFrame>
      <xdr:nvGraphicFramePr>
        <xdr:cNvPr id="1" name="Chart 1"/>
        <xdr:cNvGraphicFramePr/>
      </xdr:nvGraphicFramePr>
      <xdr:xfrm>
        <a:off x="211320" y="702000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22.95"/>
    <col collapsed="false" customWidth="true" hidden="false" outlineLevel="0" max="7" min="5" style="1" width="16"/>
    <col collapsed="false" customWidth="true" hidden="false" outlineLevel="0" max="9" min="8" style="1" width="20"/>
  </cols>
  <sheetData>
    <row r="1" customFormat="false" ht="19.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</row>
    <row r="2" customFormat="false" ht="36" hidden="false" customHeight="true" outlineLevel="0" collapsed="false">
      <c r="B2" s="3" t="s">
        <v>1</v>
      </c>
      <c r="C2" s="3"/>
      <c r="D2" s="3"/>
      <c r="E2" s="3"/>
      <c r="F2" s="3"/>
      <c r="G2" s="3"/>
      <c r="H2" s="3"/>
      <c r="I2" s="3"/>
    </row>
    <row r="3" customFormat="false" ht="55.2" hidden="false" customHeight="true" outlineLevel="0" collapsed="false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customFormat="false" ht="21.75" hidden="false" customHeight="true" outlineLevel="0" collapsed="false">
      <c r="B4" s="5" t="s">
        <v>11</v>
      </c>
      <c r="C4" s="6"/>
      <c r="D4" s="6"/>
      <c r="E4" s="7" t="str">
        <f aca="false">IFERROR(C4/D4,"")</f>
        <v/>
      </c>
      <c r="F4" s="8"/>
      <c r="G4" s="8"/>
      <c r="H4" s="6"/>
      <c r="I4" s="9"/>
      <c r="J4" s="9"/>
    </row>
    <row r="5" customFormat="false" ht="21.75" hidden="false" customHeight="true" outlineLevel="0" collapsed="false">
      <c r="B5" s="5" t="s">
        <v>12</v>
      </c>
      <c r="C5" s="6"/>
      <c r="D5" s="6"/>
      <c r="E5" s="10" t="str">
        <f aca="false">IFERROR(C5/D5,"")</f>
        <v/>
      </c>
      <c r="F5" s="8"/>
      <c r="G5" s="8"/>
      <c r="H5" s="6"/>
      <c r="I5" s="9"/>
      <c r="J5" s="9"/>
    </row>
    <row r="6" customFormat="false" ht="21.75" hidden="false" customHeight="true" outlineLevel="0" collapsed="false">
      <c r="B6" s="5" t="s">
        <v>13</v>
      </c>
      <c r="C6" s="6"/>
      <c r="D6" s="6"/>
      <c r="E6" s="7" t="str">
        <f aca="false">IFERROR(C6/D6,"")</f>
        <v/>
      </c>
      <c r="F6" s="8"/>
      <c r="G6" s="8"/>
      <c r="H6" s="6"/>
      <c r="I6" s="9"/>
      <c r="J6" s="9"/>
    </row>
    <row r="7" customFormat="false" ht="21.75" hidden="false" customHeight="true" outlineLevel="0" collapsed="false">
      <c r="B7" s="5" t="s">
        <v>14</v>
      </c>
      <c r="C7" s="6"/>
      <c r="D7" s="6"/>
      <c r="E7" s="10" t="str">
        <f aca="false">IFERROR(C7/D7,"")</f>
        <v/>
      </c>
      <c r="F7" s="8"/>
      <c r="G7" s="8"/>
      <c r="H7" s="6"/>
      <c r="I7" s="9"/>
      <c r="J7" s="9"/>
    </row>
    <row r="8" customFormat="false" ht="21.75" hidden="false" customHeight="true" outlineLevel="0" collapsed="false">
      <c r="B8" s="5" t="s">
        <v>15</v>
      </c>
      <c r="C8" s="6"/>
      <c r="D8" s="6"/>
      <c r="E8" s="7" t="str">
        <f aca="false">IFERROR(C8/D8,"")</f>
        <v/>
      </c>
      <c r="F8" s="8"/>
      <c r="G8" s="8"/>
      <c r="H8" s="6"/>
      <c r="I8" s="9"/>
      <c r="J8" s="9"/>
    </row>
    <row r="9" customFormat="false" ht="21.75" hidden="false" customHeight="true" outlineLevel="0" collapsed="false">
      <c r="B9" s="5" t="s">
        <v>16</v>
      </c>
      <c r="C9" s="6"/>
      <c r="D9" s="6"/>
      <c r="E9" s="10" t="str">
        <f aca="false">IFERROR(C9/D9,"")</f>
        <v/>
      </c>
      <c r="F9" s="8"/>
      <c r="G9" s="8"/>
      <c r="H9" s="6"/>
      <c r="I9" s="9"/>
      <c r="J9" s="9"/>
    </row>
    <row r="10" customFormat="false" ht="21.75" hidden="false" customHeight="true" outlineLevel="0" collapsed="false">
      <c r="B10" s="5" t="s">
        <v>17</v>
      </c>
      <c r="C10" s="6"/>
      <c r="D10" s="6"/>
      <c r="E10" s="7" t="str">
        <f aca="false">IFERROR(C10/D10,"")</f>
        <v/>
      </c>
      <c r="F10" s="8"/>
      <c r="G10" s="8"/>
      <c r="H10" s="6"/>
      <c r="I10" s="9"/>
      <c r="J10" s="9"/>
    </row>
    <row r="11" customFormat="false" ht="21.75" hidden="false" customHeight="true" outlineLevel="0" collapsed="false">
      <c r="B11" s="5" t="s">
        <v>18</v>
      </c>
      <c r="C11" s="6"/>
      <c r="D11" s="6"/>
      <c r="E11" s="10" t="str">
        <f aca="false">IFERROR(C11/D11,"")</f>
        <v/>
      </c>
      <c r="F11" s="8"/>
      <c r="G11" s="8"/>
      <c r="H11" s="6"/>
      <c r="I11" s="9"/>
      <c r="J11" s="9"/>
    </row>
    <row r="12" customFormat="false" ht="21.75" hidden="false" customHeight="true" outlineLevel="0" collapsed="false">
      <c r="B12" s="5" t="s">
        <v>19</v>
      </c>
      <c r="C12" s="6"/>
      <c r="D12" s="6"/>
      <c r="E12" s="7" t="str">
        <f aca="false">IFERROR(C12/D12,"")</f>
        <v/>
      </c>
      <c r="F12" s="8"/>
      <c r="G12" s="8"/>
      <c r="H12" s="6"/>
      <c r="I12" s="9"/>
      <c r="J12" s="9"/>
    </row>
    <row r="13" customFormat="false" ht="21.75" hidden="false" customHeight="true" outlineLevel="0" collapsed="false">
      <c r="B13" s="5" t="s">
        <v>20</v>
      </c>
      <c r="C13" s="6"/>
      <c r="D13" s="6"/>
      <c r="E13" s="10" t="str">
        <f aca="false">IFERROR(C13/D13,"")</f>
        <v/>
      </c>
      <c r="F13" s="8"/>
      <c r="G13" s="8"/>
      <c r="H13" s="6"/>
      <c r="I13" s="9"/>
      <c r="J13" s="9"/>
    </row>
    <row r="14" customFormat="false" ht="21.75" hidden="false" customHeight="true" outlineLevel="0" collapsed="false">
      <c r="B14" s="5" t="s">
        <v>21</v>
      </c>
      <c r="C14" s="6"/>
      <c r="D14" s="6"/>
      <c r="E14" s="7" t="str">
        <f aca="false">IFERROR(C14/D14,"")</f>
        <v/>
      </c>
      <c r="F14" s="8"/>
      <c r="G14" s="8"/>
      <c r="H14" s="6"/>
      <c r="I14" s="9"/>
      <c r="J14" s="9"/>
    </row>
    <row r="15" customFormat="false" ht="21.75" hidden="false" customHeight="true" outlineLevel="0" collapsed="false">
      <c r="B15" s="5" t="s">
        <v>22</v>
      </c>
      <c r="C15" s="6"/>
      <c r="D15" s="6"/>
      <c r="E15" s="10" t="str">
        <f aca="false">IFERROR(C15/D15,"")</f>
        <v/>
      </c>
      <c r="F15" s="8"/>
      <c r="G15" s="8"/>
      <c r="H15" s="6"/>
      <c r="I15" s="9"/>
      <c r="J15" s="9"/>
    </row>
    <row r="16" customFormat="false" ht="21.75" hidden="false" customHeight="true" outlineLevel="0" collapsed="false">
      <c r="B16" s="5" t="s">
        <v>23</v>
      </c>
      <c r="C16" s="6"/>
      <c r="D16" s="6"/>
      <c r="E16" s="7" t="str">
        <f aca="false">IFERROR(C16/D16,"")</f>
        <v/>
      </c>
      <c r="F16" s="8"/>
      <c r="G16" s="8"/>
      <c r="H16" s="6"/>
      <c r="I16" s="9"/>
      <c r="J16" s="9"/>
    </row>
    <row r="17" customFormat="false" ht="24" hidden="false" customHeight="true" outlineLevel="0" collapsed="false">
      <c r="B17" s="4" t="s">
        <v>24</v>
      </c>
      <c r="C17" s="11" t="n">
        <f aca="false">SUM(C4:C16)</f>
        <v>0</v>
      </c>
      <c r="D17" s="11" t="n">
        <f aca="false">SUM(D4:D16)</f>
        <v>0</v>
      </c>
      <c r="E17" s="12" t="str">
        <f aca="false">IFERROR(C17/D17,"")</f>
        <v/>
      </c>
      <c r="F17" s="13" t="n">
        <f aca="false">SUM(F4:F16)</f>
        <v>0</v>
      </c>
      <c r="G17" s="13" t="str">
        <f aca="false">IFERROR(AVERAGE(G4:G16),"")</f>
        <v/>
      </c>
      <c r="H17" s="11" t="n">
        <f aca="false">SUM(H4:H16)</f>
        <v>0</v>
      </c>
      <c r="I17" s="14"/>
      <c r="J17" s="14"/>
    </row>
    <row r="19" customFormat="false" ht="22.35" hidden="false" customHeight="true" outlineLevel="0" collapsed="false">
      <c r="B19" s="15" t="s">
        <v>25</v>
      </c>
      <c r="C19" s="15"/>
      <c r="D19" s="15"/>
      <c r="E19" s="15"/>
      <c r="F19" s="15"/>
      <c r="G19" s="15"/>
      <c r="H19" s="15"/>
      <c r="I19" s="15"/>
      <c r="J19" s="15"/>
    </row>
    <row r="20" customFormat="false" ht="15" hidden="false" customHeight="true" outlineLevel="0" collapsed="false">
      <c r="B20" s="16" t="s">
        <v>26</v>
      </c>
      <c r="C20" s="16"/>
      <c r="D20" s="16"/>
      <c r="E20" s="16"/>
      <c r="F20" s="16"/>
      <c r="G20" s="16"/>
      <c r="H20" s="16"/>
      <c r="I20" s="16"/>
      <c r="J20" s="16"/>
    </row>
  </sheetData>
  <mergeCells count="4">
    <mergeCell ref="B1:I1"/>
    <mergeCell ref="B2:I2"/>
    <mergeCell ref="B19:J19"/>
    <mergeCell ref="B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6" min="3" style="1" width="16"/>
  </cols>
  <sheetData>
    <row r="1" customFormat="false" ht="27.75" hidden="false" customHeight="true" outlineLevel="0" collapsed="false">
      <c r="B1" s="2" t="s">
        <v>27</v>
      </c>
      <c r="C1" s="2"/>
      <c r="D1" s="2"/>
      <c r="E1" s="2"/>
      <c r="F1" s="2"/>
    </row>
    <row r="3" customFormat="false" ht="27.75" hidden="false" customHeight="true" outlineLevel="0" collapsed="false">
      <c r="B3" s="17" t="s">
        <v>28</v>
      </c>
      <c r="C3" s="18" t="n">
        <f aca="false">COUNTA('Registro Semanal'!C4:C16)</f>
        <v>0</v>
      </c>
      <c r="D3" s="18"/>
      <c r="E3" s="18"/>
      <c r="F3" s="18"/>
    </row>
    <row r="4" customFormat="false" ht="27.75" hidden="false" customHeight="true" outlineLevel="0" collapsed="false">
      <c r="B4" s="17" t="s">
        <v>29</v>
      </c>
      <c r="C4" s="18" t="n">
        <f aca="false">'Registro Semanal'!C17</f>
        <v>0</v>
      </c>
      <c r="D4" s="18"/>
      <c r="E4" s="18"/>
      <c r="F4" s="18"/>
    </row>
    <row r="5" customFormat="false" ht="27.75" hidden="false" customHeight="true" outlineLevel="0" collapsed="false">
      <c r="B5" s="17" t="s">
        <v>30</v>
      </c>
      <c r="C5" s="18" t="n">
        <f aca="false">'Registro Semanal'!D17</f>
        <v>0</v>
      </c>
      <c r="D5" s="18"/>
      <c r="E5" s="18"/>
      <c r="F5" s="18"/>
    </row>
    <row r="6" customFormat="false" ht="27.75" hidden="false" customHeight="true" outlineLevel="0" collapsed="false">
      <c r="B6" s="17" t="s">
        <v>31</v>
      </c>
      <c r="C6" s="19" t="str">
        <f aca="false">IFERROR('Registro Semanal'!C17/'Registro Semanal'!D17,"")</f>
        <v/>
      </c>
      <c r="D6" s="19"/>
      <c r="E6" s="19"/>
      <c r="F6" s="19"/>
    </row>
    <row r="7" customFormat="false" ht="27.75" hidden="false" customHeight="true" outlineLevel="0" collapsed="false">
      <c r="B7" s="17" t="s">
        <v>32</v>
      </c>
      <c r="C7" s="20" t="n">
        <f aca="false">'Registro Semanal'!F17</f>
        <v>0</v>
      </c>
      <c r="D7" s="20"/>
      <c r="E7" s="20"/>
      <c r="F7" s="20"/>
    </row>
    <row r="8" customFormat="false" ht="27.75" hidden="false" customHeight="true" outlineLevel="0" collapsed="false">
      <c r="B8" s="17" t="s">
        <v>33</v>
      </c>
      <c r="C8" s="21" t="n">
        <f aca="false">'Registro Semanal'!H17</f>
        <v>0</v>
      </c>
      <c r="D8" s="21"/>
      <c r="E8" s="21"/>
      <c r="F8" s="21"/>
    </row>
    <row r="10" customFormat="false" ht="15" hidden="false" customHeight="true" outlineLevel="0" collapsed="false">
      <c r="B10" s="16" t="s">
        <v>34</v>
      </c>
      <c r="C10" s="16"/>
      <c r="D10" s="16"/>
      <c r="E10" s="16"/>
      <c r="F10" s="16"/>
    </row>
    <row r="11" customFormat="false" ht="22.35" hidden="false" customHeight="true" outlineLevel="0" collapsed="false">
      <c r="B11" s="15" t="s">
        <v>35</v>
      </c>
      <c r="C11" s="15"/>
      <c r="D11" s="15"/>
      <c r="E11" s="15"/>
      <c r="F11" s="15"/>
    </row>
    <row r="13" customFormat="false" ht="15" hidden="false" customHeight="false" outlineLevel="0" collapsed="false">
      <c r="B13" s="4" t="s">
        <v>2</v>
      </c>
      <c r="C13" s="4" t="s">
        <v>36</v>
      </c>
      <c r="D13" s="4" t="s">
        <v>37</v>
      </c>
      <c r="E13" s="4" t="s">
        <v>38</v>
      </c>
      <c r="F13" s="4" t="s">
        <v>39</v>
      </c>
    </row>
    <row r="14" customFormat="false" ht="19.5" hidden="false" customHeight="true" outlineLevel="0" collapsed="false">
      <c r="B14" s="22" t="str">
        <f aca="false">'Registro Semanal'!B4</f>
        <v>21/07 – 27/07</v>
      </c>
      <c r="C14" s="10" t="str">
        <f aca="false">'Registro Semanal'!E4</f>
        <v/>
      </c>
      <c r="D14" s="23" t="n">
        <f aca="false">'Registro Semanal'!F4</f>
        <v>0</v>
      </c>
      <c r="E14" s="24" t="n">
        <f aca="false">'Registro Semanal'!H4</f>
        <v>0</v>
      </c>
      <c r="F14" s="25" t="s">
        <v>40</v>
      </c>
    </row>
    <row r="15" customFormat="false" ht="19.5" hidden="false" customHeight="true" outlineLevel="0" collapsed="false">
      <c r="B15" s="22" t="str">
        <f aca="false">'Registro Semanal'!B5</f>
        <v>28/07 – 03/08</v>
      </c>
      <c r="C15" s="10" t="str">
        <f aca="false">'Registro Semanal'!E5</f>
        <v/>
      </c>
      <c r="D15" s="23" t="n">
        <f aca="false">'Registro Semanal'!F5</f>
        <v>0</v>
      </c>
      <c r="E15" s="24" t="n">
        <f aca="false">'Registro Semanal'!H5</f>
        <v>0</v>
      </c>
      <c r="F15" s="25" t="str">
        <f aca="false">IFERROR(IF(C15&gt;C14,"▲ Sube",IF(C15&lt;C14,"▼ Baja","→ Igual")),"—")</f>
        <v>→ Igual</v>
      </c>
    </row>
    <row r="16" customFormat="false" ht="19.5" hidden="false" customHeight="true" outlineLevel="0" collapsed="false">
      <c r="B16" s="22" t="str">
        <f aca="false">'Registro Semanal'!B6</f>
        <v>04/08 – 10/08</v>
      </c>
      <c r="C16" s="10" t="str">
        <f aca="false">'Registro Semanal'!E6</f>
        <v/>
      </c>
      <c r="D16" s="23" t="n">
        <f aca="false">'Registro Semanal'!F6</f>
        <v>0</v>
      </c>
      <c r="E16" s="24" t="n">
        <f aca="false">'Registro Semanal'!H6</f>
        <v>0</v>
      </c>
      <c r="F16" s="25" t="str">
        <f aca="false">IFERROR(IF(C16&gt;C15,"▲ Sube",IF(C16&lt;C15,"▼ Baja","→ Igual")),"—")</f>
        <v>→ Igual</v>
      </c>
    </row>
    <row r="17" customFormat="false" ht="19.5" hidden="false" customHeight="true" outlineLevel="0" collapsed="false">
      <c r="B17" s="22" t="str">
        <f aca="false">'Registro Semanal'!B7</f>
        <v>11/08 – 17/08</v>
      </c>
      <c r="C17" s="10" t="str">
        <f aca="false">'Registro Semanal'!E7</f>
        <v/>
      </c>
      <c r="D17" s="23" t="n">
        <f aca="false">'Registro Semanal'!F7</f>
        <v>0</v>
      </c>
      <c r="E17" s="24" t="n">
        <f aca="false">'Registro Semanal'!H7</f>
        <v>0</v>
      </c>
      <c r="F17" s="25" t="str">
        <f aca="false">IFERROR(IF(C17&gt;C16,"▲ Sube",IF(C17&lt;C16,"▼ Baja","→ Igual")),"—")</f>
        <v>→ Igual</v>
      </c>
    </row>
    <row r="18" customFormat="false" ht="19.5" hidden="false" customHeight="true" outlineLevel="0" collapsed="false">
      <c r="B18" s="22" t="str">
        <f aca="false">'Registro Semanal'!B8</f>
        <v>18/08 – 24/08</v>
      </c>
      <c r="C18" s="10" t="str">
        <f aca="false">'Registro Semanal'!E8</f>
        <v/>
      </c>
      <c r="D18" s="23" t="n">
        <f aca="false">'Registro Semanal'!F8</f>
        <v>0</v>
      </c>
      <c r="E18" s="24" t="n">
        <f aca="false">'Registro Semanal'!H8</f>
        <v>0</v>
      </c>
      <c r="F18" s="25" t="str">
        <f aca="false">IFERROR(IF(C18&gt;C17,"▲ Sube",IF(C18&lt;C17,"▼ Baja","→ Igual")),"—")</f>
        <v>→ Igual</v>
      </c>
    </row>
    <row r="19" customFormat="false" ht="19.5" hidden="false" customHeight="true" outlineLevel="0" collapsed="false">
      <c r="B19" s="22" t="str">
        <f aca="false">'Registro Semanal'!B9</f>
        <v>25/08 – 31/08</v>
      </c>
      <c r="C19" s="10" t="str">
        <f aca="false">'Registro Semanal'!E9</f>
        <v/>
      </c>
      <c r="D19" s="23" t="n">
        <f aca="false">'Registro Semanal'!F9</f>
        <v>0</v>
      </c>
      <c r="E19" s="24" t="n">
        <f aca="false">'Registro Semanal'!H9</f>
        <v>0</v>
      </c>
      <c r="F19" s="25" t="str">
        <f aca="false">IFERROR(IF(C19&gt;C18,"▲ Sube",IF(C19&lt;C18,"▼ Baja","→ Igual")),"—")</f>
        <v>→ Igual</v>
      </c>
    </row>
    <row r="20" customFormat="false" ht="19.5" hidden="false" customHeight="true" outlineLevel="0" collapsed="false">
      <c r="B20" s="22" t="str">
        <f aca="false">'Registro Semanal'!B10</f>
        <v>01/09 – 07/09</v>
      </c>
      <c r="C20" s="10" t="str">
        <f aca="false">'Registro Semanal'!E10</f>
        <v/>
      </c>
      <c r="D20" s="23" t="n">
        <f aca="false">'Registro Semanal'!F10</f>
        <v>0</v>
      </c>
      <c r="E20" s="24" t="n">
        <f aca="false">'Registro Semanal'!H10</f>
        <v>0</v>
      </c>
      <c r="F20" s="25" t="str">
        <f aca="false">IFERROR(IF(C20&gt;C19,"▲ Sube",IF(C20&lt;C19,"▼ Baja","→ Igual")),"—")</f>
        <v>→ Igual</v>
      </c>
    </row>
    <row r="21" customFormat="false" ht="19.5" hidden="false" customHeight="true" outlineLevel="0" collapsed="false">
      <c r="B21" s="22" t="str">
        <f aca="false">'Registro Semanal'!B11</f>
        <v>08/09 – 14/09</v>
      </c>
      <c r="C21" s="10" t="str">
        <f aca="false">'Registro Semanal'!E11</f>
        <v/>
      </c>
      <c r="D21" s="23" t="n">
        <f aca="false">'Registro Semanal'!F11</f>
        <v>0</v>
      </c>
      <c r="E21" s="24" t="n">
        <f aca="false">'Registro Semanal'!H11</f>
        <v>0</v>
      </c>
      <c r="F21" s="25" t="str">
        <f aca="false">IFERROR(IF(C21&gt;C20,"▲ Sube",IF(C21&lt;C20,"▼ Baja","→ Igual")),"—")</f>
        <v>→ Igual</v>
      </c>
    </row>
    <row r="22" customFormat="false" ht="19.5" hidden="false" customHeight="true" outlineLevel="0" collapsed="false">
      <c r="B22" s="22" t="str">
        <f aca="false">'Registro Semanal'!B12</f>
        <v>15/09 – 21/09</v>
      </c>
      <c r="C22" s="10" t="str">
        <f aca="false">'Registro Semanal'!E12</f>
        <v/>
      </c>
      <c r="D22" s="23" t="n">
        <f aca="false">'Registro Semanal'!F12</f>
        <v>0</v>
      </c>
      <c r="E22" s="24" t="n">
        <f aca="false">'Registro Semanal'!H12</f>
        <v>0</v>
      </c>
      <c r="F22" s="25" t="str">
        <f aca="false">IFERROR(IF(C22&gt;C21,"▲ Sube",IF(C22&lt;C21,"▼ Baja","→ Igual")),"—")</f>
        <v>→ Igual</v>
      </c>
    </row>
    <row r="23" customFormat="false" ht="19.5" hidden="false" customHeight="true" outlineLevel="0" collapsed="false">
      <c r="B23" s="22" t="str">
        <f aca="false">'Registro Semanal'!B13</f>
        <v>22/09 – 28/09</v>
      </c>
      <c r="C23" s="10" t="str">
        <f aca="false">'Registro Semanal'!E13</f>
        <v/>
      </c>
      <c r="D23" s="23" t="n">
        <f aca="false">'Registro Semanal'!F13</f>
        <v>0</v>
      </c>
      <c r="E23" s="24" t="n">
        <f aca="false">'Registro Semanal'!H13</f>
        <v>0</v>
      </c>
      <c r="F23" s="25" t="str">
        <f aca="false">IFERROR(IF(C23&gt;C22,"▲ Sube",IF(C23&lt;C22,"▼ Baja","→ Igual")),"—")</f>
        <v>→ Igual</v>
      </c>
    </row>
    <row r="24" customFormat="false" ht="19.5" hidden="false" customHeight="true" outlineLevel="0" collapsed="false">
      <c r="B24" s="22" t="str">
        <f aca="false">'Registro Semanal'!B14</f>
        <v>29/09 – 05/10</v>
      </c>
      <c r="C24" s="10" t="str">
        <f aca="false">'Registro Semanal'!E14</f>
        <v/>
      </c>
      <c r="D24" s="23" t="n">
        <f aca="false">'Registro Semanal'!F14</f>
        <v>0</v>
      </c>
      <c r="E24" s="24" t="n">
        <f aca="false">'Registro Semanal'!H14</f>
        <v>0</v>
      </c>
      <c r="F24" s="25" t="str">
        <f aca="false">IFERROR(IF(C24&gt;C23,"▲ Sube",IF(C24&lt;C23,"▼ Baja","→ Igual")),"—")</f>
        <v>→ Igual</v>
      </c>
    </row>
    <row r="25" customFormat="false" ht="19.5" hidden="false" customHeight="true" outlineLevel="0" collapsed="false">
      <c r="B25" s="22" t="str">
        <f aca="false">'Registro Semanal'!B15</f>
        <v>06/10 – 12/10</v>
      </c>
      <c r="C25" s="10" t="str">
        <f aca="false">'Registro Semanal'!E15</f>
        <v/>
      </c>
      <c r="D25" s="23" t="n">
        <f aca="false">'Registro Semanal'!F15</f>
        <v>0</v>
      </c>
      <c r="E25" s="24" t="n">
        <f aca="false">'Registro Semanal'!H15</f>
        <v>0</v>
      </c>
      <c r="F25" s="25" t="str">
        <f aca="false">IFERROR(IF(C25&gt;C24,"▲ Sube",IF(C25&lt;C24,"▼ Baja","→ Igual")),"—")</f>
        <v>→ Igual</v>
      </c>
    </row>
    <row r="26" customFormat="false" ht="19.5" hidden="false" customHeight="true" outlineLevel="0" collapsed="false">
      <c r="B26" s="22" t="str">
        <f aca="false">'Registro Semanal'!B16</f>
        <v>13/10 – 19/10</v>
      </c>
      <c r="C26" s="10" t="str">
        <f aca="false">'Registro Semanal'!E16</f>
        <v/>
      </c>
      <c r="D26" s="23" t="n">
        <f aca="false">'Registro Semanal'!F16</f>
        <v>0</v>
      </c>
      <c r="E26" s="24" t="n">
        <f aca="false">'Registro Semanal'!H16</f>
        <v>0</v>
      </c>
      <c r="F26" s="25" t="str">
        <f aca="false">IFERROR(IF(C26&gt;C25,"▲ Sube",IF(C26&lt;C25,"▼ Baja","→ Igual")),"—")</f>
        <v>→ Igual</v>
      </c>
    </row>
  </sheetData>
  <mergeCells count="9">
    <mergeCell ref="B1:F1"/>
    <mergeCell ref="C3:F3"/>
    <mergeCell ref="C4:F4"/>
    <mergeCell ref="C5:F5"/>
    <mergeCell ref="C6:F6"/>
    <mergeCell ref="C7:F7"/>
    <mergeCell ref="C8:F8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5" min="3" style="1" width="20"/>
  </cols>
  <sheetData>
    <row r="1" customFormat="false" ht="27.75" hidden="false" customHeight="true" outlineLevel="0" collapsed="false">
      <c r="B1" s="2" t="s">
        <v>41</v>
      </c>
      <c r="C1" s="2"/>
      <c r="D1" s="2"/>
      <c r="E1" s="2"/>
    </row>
    <row r="2" customFormat="false" ht="15" hidden="false" customHeight="true" outlineLevel="0" collapsed="false">
      <c r="B2" s="3" t="s">
        <v>42</v>
      </c>
      <c r="C2" s="3"/>
      <c r="D2" s="3"/>
      <c r="E2" s="3"/>
    </row>
    <row r="4" customFormat="false" ht="15" hidden="false" customHeight="false" outlineLevel="0" collapsed="false">
      <c r="B4" s="26" t="s">
        <v>43</v>
      </c>
      <c r="C4" s="27" t="s">
        <v>44</v>
      </c>
      <c r="D4" s="28" t="s">
        <v>45</v>
      </c>
      <c r="E4" s="4" t="s">
        <v>46</v>
      </c>
    </row>
    <row r="5" customFormat="false" ht="21.75" hidden="false" customHeight="true" outlineLevel="0" collapsed="false">
      <c r="B5" s="29" t="s">
        <v>47</v>
      </c>
      <c r="C5" s="30" t="s">
        <v>48</v>
      </c>
      <c r="D5" s="31" t="s">
        <v>49</v>
      </c>
      <c r="E5" s="32" t="str">
        <f aca="false">IFERROR(C5-D5,"Pendiente")</f>
        <v>Pendiente</v>
      </c>
    </row>
    <row r="6" customFormat="false" ht="21.75" hidden="false" customHeight="true" outlineLevel="0" collapsed="false">
      <c r="B6" s="29" t="s">
        <v>50</v>
      </c>
      <c r="C6" s="30" t="s">
        <v>51</v>
      </c>
      <c r="D6" s="33" t="s">
        <v>52</v>
      </c>
      <c r="E6" s="32" t="str">
        <f aca="false">IFERROR(D6-C6,"Pendiente")</f>
        <v>Pendiente</v>
      </c>
    </row>
    <row r="7" customFormat="false" ht="21.75" hidden="false" customHeight="true" outlineLevel="0" collapsed="false">
      <c r="B7" s="29" t="s">
        <v>53</v>
      </c>
      <c r="C7" s="30" t="s">
        <v>54</v>
      </c>
      <c r="D7" s="31" t="s">
        <v>55</v>
      </c>
      <c r="E7" s="32" t="str">
        <f aca="false">IFERROR(C7-D7,"Pendiente")</f>
        <v>Pendiente</v>
      </c>
    </row>
    <row r="8" customFormat="false" ht="21.75" hidden="false" customHeight="true" outlineLevel="0" collapsed="false">
      <c r="B8" s="29" t="s">
        <v>56</v>
      </c>
      <c r="C8" s="34" t="s">
        <v>57</v>
      </c>
      <c r="D8" s="31" t="s">
        <v>58</v>
      </c>
      <c r="E8" s="32" t="s">
        <v>40</v>
      </c>
    </row>
    <row r="9" customFormat="false" ht="21.75" hidden="false" customHeight="true" outlineLevel="0" collapsed="false">
      <c r="B9" s="29" t="s">
        <v>59</v>
      </c>
      <c r="C9" s="34" t="s">
        <v>60</v>
      </c>
      <c r="D9" s="31" t="s">
        <v>61</v>
      </c>
      <c r="E9" s="32" t="s">
        <v>40</v>
      </c>
    </row>
    <row r="11" customFormat="false" ht="36" hidden="false" customHeight="true" outlineLevel="0" collapsed="false">
      <c r="B11" s="35" t="s">
        <v>62</v>
      </c>
      <c r="C11" s="35"/>
      <c r="D11" s="35"/>
      <c r="E11" s="35"/>
    </row>
    <row r="13" customFormat="false" ht="22.35" hidden="false" customHeight="true" outlineLevel="0" collapsed="false">
      <c r="B13" s="15" t="s">
        <v>63</v>
      </c>
      <c r="C13" s="15"/>
      <c r="D13" s="15"/>
      <c r="E13" s="15"/>
    </row>
  </sheetData>
  <mergeCells count="4">
    <mergeCell ref="B1:E1"/>
    <mergeCell ref="B2:E2"/>
    <mergeCell ref="B11:E11"/>
    <mergeCell ref="B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2026-07-23T20:22:58Z</dcterms:created>
  <dc:creator>openpyxl</dc:creator>
  <dc:description/>
  <dc:language>en-US</dc:language>
  <cp:lastModifiedBy/>
  <dcterms:modified xsi:type="dcterms:W3CDTF">2026-07-25T00:52:16Z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